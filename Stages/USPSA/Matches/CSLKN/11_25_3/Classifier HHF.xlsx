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e295be898e62b/Documents/Gun Stuff/Stages/CSLKN/November25_3/"/>
    </mc:Choice>
  </mc:AlternateContent>
  <xr:revisionPtr revIDLastSave="698" documentId="11_E60897F41BE170836B02CE998F75CCDC64E183C8" xr6:coauthVersionLast="47" xr6:coauthVersionMax="47" xr10:uidLastSave="{6C2621A4-8792-4A20-9788-6C4BD7228958}"/>
  <bookViews>
    <workbookView xWindow="25425" yWindow="2115" windowWidth="30915" windowHeight="20460" activeTab="5" xr2:uid="{00000000-000D-0000-FFFF-FFFF00000000}"/>
  </bookViews>
  <sheets>
    <sheet name="CM 03-07" sheetId="4" r:id="rId1"/>
    <sheet name="CM 99-08" sheetId="3" r:id="rId2"/>
    <sheet name="CM 18-06" sheetId="6" r:id="rId3"/>
    <sheet name="CM 03-18" sheetId="5" r:id="rId4"/>
    <sheet name="CM 09-04" sheetId="2" r:id="rId5"/>
    <sheet name="CM 18-04" sheetId="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G11" i="1"/>
  <c r="G10" i="1"/>
  <c r="G9" i="1"/>
  <c r="G8" i="1"/>
  <c r="G7" i="1"/>
  <c r="G6" i="1"/>
  <c r="C10" i="1"/>
  <c r="D10" i="1"/>
  <c r="E10" i="1"/>
  <c r="F10" i="1"/>
  <c r="H10" i="1"/>
  <c r="I10" i="1"/>
  <c r="J10" i="1"/>
  <c r="C9" i="1"/>
  <c r="D9" i="1"/>
  <c r="E9" i="1"/>
  <c r="F9" i="1"/>
  <c r="H9" i="1"/>
  <c r="I9" i="1"/>
  <c r="J9" i="1"/>
  <c r="C8" i="1"/>
  <c r="D8" i="1"/>
  <c r="E8" i="1"/>
  <c r="F8" i="1"/>
  <c r="H8" i="1"/>
  <c r="I8" i="1"/>
  <c r="J8" i="1"/>
  <c r="C7" i="1"/>
  <c r="D7" i="1"/>
  <c r="E7" i="1"/>
  <c r="F7" i="1"/>
  <c r="H7" i="1"/>
  <c r="I7" i="1"/>
  <c r="J7" i="1"/>
  <c r="C6" i="1"/>
  <c r="D6" i="1"/>
  <c r="E6" i="1"/>
  <c r="F6" i="1"/>
  <c r="H6" i="1"/>
  <c r="I6" i="1"/>
  <c r="J6" i="1"/>
  <c r="C5" i="1"/>
  <c r="D5" i="1"/>
  <c r="E5" i="1"/>
  <c r="H5" i="1"/>
  <c r="I5" i="1"/>
  <c r="J5" i="1"/>
  <c r="B10" i="1"/>
  <c r="B9" i="1"/>
  <c r="B8" i="1"/>
  <c r="B7" i="1"/>
  <c r="B6" i="1"/>
  <c r="B5" i="1"/>
  <c r="I11" i="6"/>
  <c r="H11" i="6"/>
  <c r="G11" i="6"/>
  <c r="F11" i="6"/>
  <c r="E11" i="6"/>
  <c r="D11" i="6"/>
  <c r="C11" i="6"/>
  <c r="B11" i="6"/>
  <c r="I11" i="5"/>
  <c r="H11" i="5"/>
  <c r="G11" i="5"/>
  <c r="F11" i="5"/>
  <c r="E11" i="5"/>
  <c r="D11" i="5"/>
  <c r="C11" i="5"/>
  <c r="B11" i="5"/>
  <c r="I11" i="4"/>
  <c r="H11" i="4"/>
  <c r="G11" i="4"/>
  <c r="F11" i="4"/>
  <c r="E11" i="4"/>
  <c r="D11" i="4"/>
  <c r="C11" i="4"/>
  <c r="B11" i="4"/>
  <c r="I11" i="3"/>
  <c r="H11" i="3"/>
  <c r="G11" i="3"/>
  <c r="F11" i="3"/>
  <c r="E11" i="3"/>
  <c r="D11" i="3"/>
  <c r="C11" i="3"/>
  <c r="B11" i="3"/>
  <c r="I11" i="2"/>
  <c r="H11" i="2"/>
  <c r="G11" i="2"/>
  <c r="F11" i="2"/>
  <c r="E11" i="2"/>
  <c r="D11" i="2"/>
  <c r="C11" i="2"/>
  <c r="B11" i="2"/>
  <c r="J11" i="1"/>
  <c r="I11" i="1"/>
  <c r="H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<sst xmlns="http://schemas.openxmlformats.org/spreadsheetml/2006/main" count="121" uniqueCount="34">
  <si>
    <t>Division</t>
  </si>
  <si>
    <t>Open</t>
  </si>
  <si>
    <t>Limited</t>
  </si>
  <si>
    <t>Production</t>
  </si>
  <si>
    <t>Revolver</t>
  </si>
  <si>
    <t>Single Stack</t>
  </si>
  <si>
    <t>PCC</t>
  </si>
  <si>
    <t>Total Points</t>
  </si>
  <si>
    <t>CO</t>
  </si>
  <si>
    <t>LO</t>
  </si>
  <si>
    <t>GM Time All As</t>
  </si>
  <si>
    <t>GM 95%</t>
  </si>
  <si>
    <t>HHF 100%</t>
  </si>
  <si>
    <t>M 85%</t>
  </si>
  <si>
    <t>A 75%</t>
  </si>
  <si>
    <t>B 60%</t>
  </si>
  <si>
    <t>C 40%</t>
  </si>
  <si>
    <t>D 2%</t>
  </si>
  <si>
    <t>Melody Line</t>
  </si>
  <si>
    <t>CM 99-08</t>
  </si>
  <si>
    <t>CM 03-07</t>
  </si>
  <si>
    <t>Riverdale Standards</t>
  </si>
  <si>
    <t>CM 03-18</t>
  </si>
  <si>
    <t>For That Day</t>
  </si>
  <si>
    <t>CM 18-06</t>
  </si>
  <si>
    <t>High Standards</t>
  </si>
  <si>
    <t>CM 09-04</t>
  </si>
  <si>
    <t>Pucker Factor</t>
  </si>
  <si>
    <t>Prod.</t>
  </si>
  <si>
    <t>S.S.</t>
  </si>
  <si>
    <t>Revo.</t>
  </si>
  <si>
    <t>L10</t>
  </si>
  <si>
    <t>CM 23-01</t>
  </si>
  <si>
    <t>THS Short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</si>
</sst>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4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2" fontId="3" fillId="0" borderId="1" xfId="0" applyNumberFormat="1" applyFont="1" applyBorder="1"/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B6A9-A6B4-4763-AB5F-DBEFEF806A63}">
  <sheetPr>
    <pageSetUpPr fitToPage="1"/>
  </sheetPr>
  <dimension ref="A1:I27"/>
  <sheetViews>
    <sheetView workbookViewId="0">
      <selection activeCell="B4" sqref="B4:I10"/>
    </sheetView>
  </sheetViews>
  <sheetFormatPr defaultRowHeight="15" x14ac:dyDescent="0.25"/>
  <cols>
    <col min="1" max="1" width="31.140625" bestFit="1" customWidth="1"/>
    <col min="2" max="4" width="22.5703125" bestFit="1" customWidth="1"/>
    <col min="5" max="6" width="17.85546875" bestFit="1" customWidth="1"/>
    <col min="7" max="7" width="20.140625" bestFit="1" customWidth="1"/>
    <col min="8" max="9" width="23.42578125" bestFit="1" customWidth="1"/>
  </cols>
  <sheetData>
    <row r="1" spans="1:9" ht="31.5" x14ac:dyDescent="0.5">
      <c r="A1" s="2" t="s">
        <v>20</v>
      </c>
      <c r="B1" s="2" t="s">
        <v>21</v>
      </c>
      <c r="C1" s="3"/>
      <c r="D1" s="3"/>
      <c r="E1" s="3"/>
      <c r="F1" s="3"/>
      <c r="G1" s="3"/>
      <c r="H1" s="3"/>
    </row>
    <row r="2" spans="1:9" s="7" customFormat="1" ht="14.25" x14ac:dyDescent="0.25">
      <c r="A2" s="7" t="s">
        <v>7</v>
      </c>
      <c r="B2" s="7">
        <v>100</v>
      </c>
    </row>
    <row r="3" spans="1:9" ht="31.5" x14ac:dyDescent="0.5">
      <c r="A3" s="5" t="s">
        <v>0</v>
      </c>
      <c r="B3" s="4" t="s">
        <v>1</v>
      </c>
      <c r="C3" s="4" t="s">
        <v>6</v>
      </c>
      <c r="D3" s="4" t="s">
        <v>8</v>
      </c>
      <c r="E3" s="4" t="s">
        <v>9</v>
      </c>
      <c r="F3" s="4" t="s">
        <v>2</v>
      </c>
      <c r="G3" s="4" t="s">
        <v>3</v>
      </c>
      <c r="H3" s="4" t="s">
        <v>5</v>
      </c>
      <c r="I3" s="4" t="s">
        <v>4</v>
      </c>
    </row>
    <row r="4" spans="1:9" ht="31.5" x14ac:dyDescent="0.5">
      <c r="A4" s="5" t="s">
        <v>12</v>
      </c>
      <c r="B4" s="6">
        <v>8.4323999999999995</v>
      </c>
      <c r="C4" s="6">
        <v>8.9564000000000004</v>
      </c>
      <c r="D4" s="6">
        <v>7.1571999999999996</v>
      </c>
      <c r="E4" s="6">
        <v>7.5347</v>
      </c>
      <c r="F4" s="6">
        <v>8.0271000000000008</v>
      </c>
      <c r="G4" s="6">
        <v>7.1571999999999996</v>
      </c>
      <c r="H4" s="6">
        <v>7.5450999999999997</v>
      </c>
      <c r="I4" s="6">
        <v>5.4718</v>
      </c>
    </row>
    <row r="5" spans="1:9" ht="31.5" x14ac:dyDescent="0.5">
      <c r="A5" s="5" t="s">
        <v>11</v>
      </c>
      <c r="B5" s="6">
        <v>8.0107999999999997</v>
      </c>
      <c r="C5" s="6">
        <v>8.5085999999999995</v>
      </c>
      <c r="D5" s="6">
        <v>6.7992999999999997</v>
      </c>
      <c r="E5" s="6">
        <v>7.1580000000000004</v>
      </c>
      <c r="F5" s="6">
        <v>7.6257000000000001</v>
      </c>
      <c r="G5" s="6">
        <v>6.7992999999999997</v>
      </c>
      <c r="H5" s="6">
        <v>7.1677999999999997</v>
      </c>
      <c r="I5" s="6">
        <v>5.1981999999999999</v>
      </c>
    </row>
    <row r="6" spans="1:9" ht="31.5" x14ac:dyDescent="0.5">
      <c r="A6" s="5" t="s">
        <v>13</v>
      </c>
      <c r="B6" s="6">
        <v>7.1675000000000004</v>
      </c>
      <c r="C6" s="6">
        <v>7.6128999999999998</v>
      </c>
      <c r="D6" s="6">
        <v>6.0835999999999997</v>
      </c>
      <c r="E6" s="6">
        <v>6.4044999999999996</v>
      </c>
      <c r="F6" s="6">
        <v>6.8230000000000004</v>
      </c>
      <c r="G6" s="6">
        <v>6.0835999999999997</v>
      </c>
      <c r="H6" s="6">
        <v>6.4132999999999996</v>
      </c>
      <c r="I6" s="6">
        <v>4.6509999999999998</v>
      </c>
    </row>
    <row r="7" spans="1:9" ht="31.5" x14ac:dyDescent="0.5">
      <c r="A7" s="5" t="s">
        <v>14</v>
      </c>
      <c r="B7" s="6">
        <v>6.3243</v>
      </c>
      <c r="C7" s="6">
        <v>6.7172999999999998</v>
      </c>
      <c r="D7" s="6">
        <v>5.3678999999999997</v>
      </c>
      <c r="E7" s="6">
        <v>5.6509999999999998</v>
      </c>
      <c r="F7" s="6">
        <v>6.0202999999999998</v>
      </c>
      <c r="G7" s="6">
        <v>5.3678999999999997</v>
      </c>
      <c r="H7" s="6">
        <v>5.6588000000000003</v>
      </c>
      <c r="I7" s="6">
        <v>4.1037999999999997</v>
      </c>
    </row>
    <row r="8" spans="1:9" ht="31.5" x14ac:dyDescent="0.5">
      <c r="A8" s="5" t="s">
        <v>15</v>
      </c>
      <c r="B8" s="6">
        <v>5.0594000000000001</v>
      </c>
      <c r="C8" s="6">
        <v>5.3738000000000001</v>
      </c>
      <c r="D8" s="6">
        <v>4.2942999999999998</v>
      </c>
      <c r="E8" s="6">
        <v>4.5208000000000004</v>
      </c>
      <c r="F8" s="6">
        <v>4.8163</v>
      </c>
      <c r="G8" s="6">
        <v>4.2942999999999998</v>
      </c>
      <c r="H8" s="6">
        <v>4.5270999999999999</v>
      </c>
      <c r="I8" s="6">
        <v>3.2831000000000001</v>
      </c>
    </row>
    <row r="9" spans="1:9" ht="31.5" x14ac:dyDescent="0.5">
      <c r="A9" s="5" t="s">
        <v>16</v>
      </c>
      <c r="B9" s="6">
        <v>3.3730000000000002</v>
      </c>
      <c r="C9" s="6">
        <v>3.5825999999999998</v>
      </c>
      <c r="D9" s="6">
        <v>2.8628999999999998</v>
      </c>
      <c r="E9" s="6">
        <v>3.0139</v>
      </c>
      <c r="F9" s="6">
        <v>3.2107999999999999</v>
      </c>
      <c r="G9" s="6">
        <v>2.8628999999999998</v>
      </c>
      <c r="H9" s="6">
        <v>3.0179999999999998</v>
      </c>
      <c r="I9" s="6">
        <v>2.1886999999999999</v>
      </c>
    </row>
    <row r="10" spans="1:9" ht="31.5" x14ac:dyDescent="0.5">
      <c r="A10" s="5" t="s">
        <v>17</v>
      </c>
      <c r="B10" s="6">
        <v>0.1686</v>
      </c>
      <c r="C10" s="6">
        <v>0.17910000000000001</v>
      </c>
      <c r="D10" s="6">
        <v>0.1431</v>
      </c>
      <c r="E10" s="6">
        <v>0.1507</v>
      </c>
      <c r="F10" s="6">
        <v>0.1605</v>
      </c>
      <c r="G10" s="6">
        <v>0.1431</v>
      </c>
      <c r="H10" s="6">
        <v>0.15090000000000001</v>
      </c>
      <c r="I10" s="6">
        <v>0.1094</v>
      </c>
    </row>
    <row r="11" spans="1:9" ht="31.5" x14ac:dyDescent="0.5">
      <c r="A11" s="5" t="s">
        <v>10</v>
      </c>
      <c r="B11" s="6">
        <f>B2/B4</f>
        <v>11.859019970589632</v>
      </c>
      <c r="C11" s="6">
        <f>B2/C4</f>
        <v>11.165200303693448</v>
      </c>
      <c r="D11" s="6">
        <f>B2/D4</f>
        <v>13.971944335773767</v>
      </c>
      <c r="E11" s="6">
        <f>B2/E4</f>
        <v>13.271928543936719</v>
      </c>
      <c r="F11" s="6">
        <f>B2/F4</f>
        <v>12.45779920519241</v>
      </c>
      <c r="G11" s="6">
        <f>B2/G4</f>
        <v>13.971944335773767</v>
      </c>
      <c r="H11" s="6">
        <f>B2/H4</f>
        <v>13.253634809346464</v>
      </c>
      <c r="I11" s="6">
        <f>B2/I4</f>
        <v>18.275521766146422</v>
      </c>
    </row>
    <row r="12" spans="1:9" x14ac:dyDescent="0.25">
      <c r="A12" s="1"/>
    </row>
    <row r="14" spans="1:9" x14ac:dyDescent="0.25">
      <c r="A14" s="7"/>
    </row>
    <row r="15" spans="1:9" x14ac:dyDescent="0.25">
      <c r="A15" s="7"/>
    </row>
    <row r="16" spans="1:9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</sheetData>
  <pageMargins left="0.7" right="0.7" top="0.75" bottom="0.75" header="0.3" footer="0.3"/>
  <pageSetup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B83F-1C72-439D-96D1-387B6B03A6C5}">
  <sheetPr>
    <pageSetUpPr fitToPage="1"/>
  </sheetPr>
  <dimension ref="A1:I27"/>
  <sheetViews>
    <sheetView workbookViewId="0">
      <selection activeCell="B4" sqref="B4:I10"/>
    </sheetView>
  </sheetViews>
  <sheetFormatPr defaultRowHeight="15" x14ac:dyDescent="0.25"/>
  <cols>
    <col min="1" max="1" width="31.140625" bestFit="1" customWidth="1"/>
    <col min="2" max="4" width="22.5703125" bestFit="1" customWidth="1"/>
    <col min="5" max="6" width="17.85546875" bestFit="1" customWidth="1"/>
    <col min="7" max="7" width="20.140625" bestFit="1" customWidth="1"/>
    <col min="8" max="9" width="23.42578125" bestFit="1" customWidth="1"/>
  </cols>
  <sheetData>
    <row r="1" spans="1:9" ht="31.5" x14ac:dyDescent="0.5">
      <c r="A1" s="2" t="s">
        <v>19</v>
      </c>
      <c r="B1" s="2" t="s">
        <v>18</v>
      </c>
      <c r="C1" s="3"/>
      <c r="D1" s="3"/>
      <c r="E1" s="3"/>
      <c r="F1" s="3"/>
      <c r="G1" s="3"/>
      <c r="H1" s="3"/>
    </row>
    <row r="2" spans="1:9" s="7" customFormat="1" ht="14.25" x14ac:dyDescent="0.25">
      <c r="A2" s="7" t="s">
        <v>7</v>
      </c>
      <c r="B2" s="7">
        <v>60</v>
      </c>
    </row>
    <row r="3" spans="1:9" ht="31.5" x14ac:dyDescent="0.5">
      <c r="A3" s="5" t="s">
        <v>0</v>
      </c>
      <c r="B3" s="4" t="s">
        <v>1</v>
      </c>
      <c r="C3" s="4" t="s">
        <v>6</v>
      </c>
      <c r="D3" s="4" t="s">
        <v>8</v>
      </c>
      <c r="E3" s="4" t="s">
        <v>9</v>
      </c>
      <c r="F3" s="4" t="s">
        <v>2</v>
      </c>
      <c r="G3" s="4" t="s">
        <v>3</v>
      </c>
      <c r="H3" s="4" t="s">
        <v>5</v>
      </c>
      <c r="I3" s="4" t="s">
        <v>4</v>
      </c>
    </row>
    <row r="4" spans="1:9" ht="31.5" x14ac:dyDescent="0.5">
      <c r="A4" s="5" t="s">
        <v>12</v>
      </c>
      <c r="B4" s="6">
        <v>11.800599999999999</v>
      </c>
      <c r="C4" s="6">
        <v>10.601000000000001</v>
      </c>
      <c r="D4" s="6">
        <v>9.6721000000000004</v>
      </c>
      <c r="E4" s="6">
        <v>10.2867</v>
      </c>
      <c r="F4" s="6">
        <v>10.676600000000001</v>
      </c>
      <c r="G4" s="6">
        <v>9.3922000000000008</v>
      </c>
      <c r="H4" s="6">
        <v>9.9093999999999998</v>
      </c>
      <c r="I4" s="6">
        <v>7.4457000000000004</v>
      </c>
    </row>
    <row r="5" spans="1:9" ht="31.5" x14ac:dyDescent="0.5">
      <c r="A5" s="5" t="s">
        <v>11</v>
      </c>
      <c r="B5" s="6">
        <v>11.210599999999999</v>
      </c>
      <c r="C5" s="6">
        <v>10.0709</v>
      </c>
      <c r="D5" s="6">
        <v>9.1884999999999994</v>
      </c>
      <c r="E5" s="6">
        <v>9.7723999999999993</v>
      </c>
      <c r="F5" s="6">
        <v>10.142799999999999</v>
      </c>
      <c r="G5" s="6">
        <v>8.9225999999999992</v>
      </c>
      <c r="H5" s="6">
        <v>9.4138999999999999</v>
      </c>
      <c r="I5" s="6">
        <v>7.0734000000000004</v>
      </c>
    </row>
    <row r="6" spans="1:9" ht="31.5" x14ac:dyDescent="0.5">
      <c r="A6" s="5" t="s">
        <v>13</v>
      </c>
      <c r="B6" s="6">
        <v>10.0305</v>
      </c>
      <c r="C6" s="6">
        <v>9.0108999999999995</v>
      </c>
      <c r="D6" s="6">
        <v>8.2212999999999994</v>
      </c>
      <c r="E6" s="6">
        <v>8.7437000000000005</v>
      </c>
      <c r="F6" s="6">
        <v>9.0751000000000008</v>
      </c>
      <c r="G6" s="6">
        <v>7.9833999999999996</v>
      </c>
      <c r="H6" s="6">
        <v>8.423</v>
      </c>
      <c r="I6" s="6">
        <v>6.3288000000000002</v>
      </c>
    </row>
    <row r="7" spans="1:9" ht="31.5" x14ac:dyDescent="0.5">
      <c r="A7" s="5" t="s">
        <v>14</v>
      </c>
      <c r="B7" s="6">
        <v>8.8504000000000005</v>
      </c>
      <c r="C7" s="6">
        <v>7.9508000000000001</v>
      </c>
      <c r="D7" s="6">
        <v>7.2541000000000002</v>
      </c>
      <c r="E7" s="6">
        <v>7.7149999999999999</v>
      </c>
      <c r="F7" s="6">
        <v>8.0075000000000003</v>
      </c>
      <c r="G7" s="6">
        <v>7.0442</v>
      </c>
      <c r="H7" s="6">
        <v>7.4321000000000002</v>
      </c>
      <c r="I7" s="6">
        <v>5.5842999999999998</v>
      </c>
    </row>
    <row r="8" spans="1:9" ht="31.5" x14ac:dyDescent="0.5">
      <c r="A8" s="5" t="s">
        <v>15</v>
      </c>
      <c r="B8" s="6">
        <v>7.0804</v>
      </c>
      <c r="C8" s="6">
        <v>6.3605999999999998</v>
      </c>
      <c r="D8" s="6">
        <v>5.8033000000000001</v>
      </c>
      <c r="E8" s="6">
        <v>6.1719999999999997</v>
      </c>
      <c r="F8" s="6">
        <v>6.4059999999999997</v>
      </c>
      <c r="G8" s="6">
        <v>5.6353</v>
      </c>
      <c r="H8" s="6">
        <v>5.9455999999999998</v>
      </c>
      <c r="I8" s="6">
        <v>4.4673999999999996</v>
      </c>
    </row>
    <row r="9" spans="1:9" ht="31.5" x14ac:dyDescent="0.5">
      <c r="A9" s="5" t="s">
        <v>16</v>
      </c>
      <c r="B9" s="6">
        <v>4.7202000000000002</v>
      </c>
      <c r="C9" s="6">
        <v>4.2404000000000002</v>
      </c>
      <c r="D9" s="6">
        <v>3.8687999999999998</v>
      </c>
      <c r="E9" s="6">
        <v>4.1147</v>
      </c>
      <c r="F9" s="6">
        <v>4.2706</v>
      </c>
      <c r="G9" s="6">
        <v>3.7568999999999999</v>
      </c>
      <c r="H9" s="6">
        <v>3.9638</v>
      </c>
      <c r="I9" s="6">
        <v>2.9782999999999999</v>
      </c>
    </row>
    <row r="10" spans="1:9" ht="31.5" x14ac:dyDescent="0.5">
      <c r="A10" s="5" t="s">
        <v>17</v>
      </c>
      <c r="B10" s="6">
        <v>0.23599999999999999</v>
      </c>
      <c r="C10" s="6">
        <v>0.21199999999999999</v>
      </c>
      <c r="D10" s="6">
        <v>0.19339999999999999</v>
      </c>
      <c r="E10" s="6">
        <v>0.20569999999999999</v>
      </c>
      <c r="F10" s="6">
        <v>0.2135</v>
      </c>
      <c r="G10" s="6">
        <v>0.18779999999999999</v>
      </c>
      <c r="H10" s="6">
        <v>0.19819999999999999</v>
      </c>
      <c r="I10" s="6">
        <v>0.1489</v>
      </c>
    </row>
    <row r="11" spans="1:9" ht="31.5" x14ac:dyDescent="0.5">
      <c r="A11" s="5" t="s">
        <v>10</v>
      </c>
      <c r="B11" s="6">
        <f>B2/B4</f>
        <v>5.0844872294629093</v>
      </c>
      <c r="C11" s="6">
        <f>B2/C4</f>
        <v>5.6598434109989615</v>
      </c>
      <c r="D11" s="6">
        <f>B2/D4</f>
        <v>6.2034098075909059</v>
      </c>
      <c r="E11" s="6">
        <f>B2/E4</f>
        <v>5.8327743591239178</v>
      </c>
      <c r="F11" s="6">
        <f>B2/F4</f>
        <v>5.6197665923608637</v>
      </c>
      <c r="G11" s="6">
        <f>B2/G4</f>
        <v>6.3882796362939454</v>
      </c>
      <c r="H11" s="6">
        <f>B2/H4</f>
        <v>6.0548570044604118</v>
      </c>
      <c r="I11" s="6">
        <f>B2/I4</f>
        <v>8.0583423989685325</v>
      </c>
    </row>
    <row r="12" spans="1:9" x14ac:dyDescent="0.25">
      <c r="A12" s="1"/>
    </row>
    <row r="14" spans="1:9" x14ac:dyDescent="0.25">
      <c r="A14" s="7"/>
    </row>
    <row r="15" spans="1:9" x14ac:dyDescent="0.25">
      <c r="A15" s="7"/>
    </row>
    <row r="16" spans="1:9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</sheetData>
  <pageMargins left="0.7" right="0.7" top="0.75" bottom="0.75" header="0.3" footer="0.3"/>
  <pageSetup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480D-707E-446B-A029-912EA133342C}">
  <sheetPr>
    <pageSetUpPr fitToPage="1"/>
  </sheetPr>
  <dimension ref="A1:I21"/>
  <sheetViews>
    <sheetView workbookViewId="0">
      <selection activeCell="A14" sqref="A14:A25"/>
    </sheetView>
  </sheetViews>
  <sheetFormatPr defaultRowHeight="15" x14ac:dyDescent="0.25"/>
  <cols>
    <col min="1" max="1" width="31.140625" bestFit="1" customWidth="1"/>
    <col min="2" max="4" width="22.5703125" bestFit="1" customWidth="1"/>
    <col min="5" max="6" width="17.85546875" bestFit="1" customWidth="1"/>
    <col min="7" max="7" width="20.140625" bestFit="1" customWidth="1"/>
    <col min="8" max="9" width="23.42578125" bestFit="1" customWidth="1"/>
  </cols>
  <sheetData>
    <row r="1" spans="1:9" ht="31.5" x14ac:dyDescent="0.5">
      <c r="A1" s="2" t="s">
        <v>24</v>
      </c>
      <c r="B1" s="2" t="s">
        <v>23</v>
      </c>
      <c r="C1" s="3"/>
      <c r="D1" s="3"/>
      <c r="E1" s="3"/>
      <c r="F1" s="3"/>
      <c r="G1" s="3"/>
      <c r="H1" s="3"/>
    </row>
    <row r="2" spans="1:9" s="7" customFormat="1" ht="14.25" x14ac:dyDescent="0.25">
      <c r="A2" s="7" t="s">
        <v>7</v>
      </c>
      <c r="B2" s="7">
        <v>90</v>
      </c>
    </row>
    <row r="3" spans="1:9" ht="31.5" x14ac:dyDescent="0.5">
      <c r="A3" s="5" t="s">
        <v>0</v>
      </c>
      <c r="B3" s="4" t="s">
        <v>1</v>
      </c>
      <c r="C3" s="4" t="s">
        <v>6</v>
      </c>
      <c r="D3" s="4" t="s">
        <v>8</v>
      </c>
      <c r="E3" s="4" t="s">
        <v>9</v>
      </c>
      <c r="F3" s="4" t="s">
        <v>2</v>
      </c>
      <c r="G3" s="4" t="s">
        <v>3</v>
      </c>
      <c r="H3" s="4" t="s">
        <v>5</v>
      </c>
      <c r="I3" s="4" t="s">
        <v>4</v>
      </c>
    </row>
    <row r="4" spans="1:9" ht="31.5" x14ac:dyDescent="0.5">
      <c r="A4" s="5" t="s">
        <v>12</v>
      </c>
      <c r="B4" s="6">
        <v>6.782</v>
      </c>
      <c r="C4" s="6">
        <v>9.1866000000000003</v>
      </c>
      <c r="D4" s="6">
        <v>5.8141999999999996</v>
      </c>
      <c r="E4" s="6">
        <v>6.0486000000000004</v>
      </c>
      <c r="F4" s="6">
        <v>5.4208999999999996</v>
      </c>
      <c r="G4" s="6">
        <v>5.4741999999999997</v>
      </c>
      <c r="H4" s="6">
        <v>5.2008999999999999</v>
      </c>
      <c r="I4" s="6">
        <v>3.6617999999999999</v>
      </c>
    </row>
    <row r="5" spans="1:9" ht="31.5" x14ac:dyDescent="0.5">
      <c r="A5" s="5" t="s">
        <v>11</v>
      </c>
      <c r="B5" s="6">
        <v>6.4428999999999998</v>
      </c>
      <c r="C5" s="6">
        <v>8.7272999999999996</v>
      </c>
      <c r="D5" s="6">
        <v>5.5235000000000003</v>
      </c>
      <c r="E5" s="6">
        <v>5.7462</v>
      </c>
      <c r="F5" s="6">
        <v>5.1498999999999997</v>
      </c>
      <c r="G5" s="6">
        <v>5.2004999999999999</v>
      </c>
      <c r="H5" s="6">
        <v>4.9409000000000001</v>
      </c>
      <c r="I5" s="6">
        <v>3.4786999999999999</v>
      </c>
    </row>
    <row r="6" spans="1:9" ht="31.5" x14ac:dyDescent="0.5">
      <c r="A6" s="5" t="s">
        <v>13</v>
      </c>
      <c r="B6" s="6">
        <v>5.7647000000000004</v>
      </c>
      <c r="C6" s="6">
        <v>7.8086000000000002</v>
      </c>
      <c r="D6" s="6">
        <v>4.9420999999999999</v>
      </c>
      <c r="E6" s="6">
        <v>5.1413000000000002</v>
      </c>
      <c r="F6" s="6">
        <v>4.6078000000000001</v>
      </c>
      <c r="G6" s="6">
        <v>4.6531000000000002</v>
      </c>
      <c r="H6" s="6">
        <v>4.4207999999999998</v>
      </c>
      <c r="I6" s="6">
        <v>3.1124999999999998</v>
      </c>
    </row>
    <row r="7" spans="1:9" ht="31.5" x14ac:dyDescent="0.5">
      <c r="A7" s="5" t="s">
        <v>14</v>
      </c>
      <c r="B7" s="6">
        <v>5.0865</v>
      </c>
      <c r="C7" s="6">
        <v>6.89</v>
      </c>
      <c r="D7" s="6">
        <v>4.3605999999999998</v>
      </c>
      <c r="E7" s="6">
        <v>4.5365000000000002</v>
      </c>
      <c r="F7" s="6">
        <v>4.0656999999999996</v>
      </c>
      <c r="G7" s="6">
        <v>4.1055999999999999</v>
      </c>
      <c r="H7" s="6">
        <v>3.9007000000000001</v>
      </c>
      <c r="I7" s="6">
        <v>2.7464</v>
      </c>
    </row>
    <row r="8" spans="1:9" ht="31.5" x14ac:dyDescent="0.5">
      <c r="A8" s="5" t="s">
        <v>15</v>
      </c>
      <c r="B8" s="6">
        <v>4.0692000000000004</v>
      </c>
      <c r="C8" s="6">
        <v>5.5119999999999996</v>
      </c>
      <c r="D8" s="6">
        <v>3.4885000000000002</v>
      </c>
      <c r="E8" s="6">
        <v>3.6292</v>
      </c>
      <c r="F8" s="6">
        <v>3.2524999999999999</v>
      </c>
      <c r="G8" s="6">
        <v>3.2845</v>
      </c>
      <c r="H8" s="6">
        <v>3.1204999999999998</v>
      </c>
      <c r="I8" s="6">
        <v>2.1970999999999998</v>
      </c>
    </row>
    <row r="9" spans="1:9" ht="31.5" x14ac:dyDescent="0.5">
      <c r="A9" s="5" t="s">
        <v>16</v>
      </c>
      <c r="B9" s="6">
        <v>2.7128000000000001</v>
      </c>
      <c r="C9" s="6">
        <v>3.6745999999999999</v>
      </c>
      <c r="D9" s="6">
        <v>2.3256999999999999</v>
      </c>
      <c r="E9" s="6">
        <v>2.4194</v>
      </c>
      <c r="F9" s="6">
        <v>2.1684000000000001</v>
      </c>
      <c r="G9" s="6">
        <v>2.1897000000000002</v>
      </c>
      <c r="H9" s="6">
        <v>2.0804</v>
      </c>
      <c r="I9" s="6">
        <v>1.4646999999999999</v>
      </c>
    </row>
    <row r="10" spans="1:9" ht="31.5" x14ac:dyDescent="0.5">
      <c r="A10" s="5" t="s">
        <v>17</v>
      </c>
      <c r="B10" s="6">
        <v>0.1356</v>
      </c>
      <c r="C10" s="6">
        <v>0.1837</v>
      </c>
      <c r="D10" s="6">
        <v>0.1163</v>
      </c>
      <c r="E10" s="6">
        <v>0.121</v>
      </c>
      <c r="F10" s="6">
        <v>0.1084</v>
      </c>
      <c r="G10" s="6">
        <v>0.1095</v>
      </c>
      <c r="H10" s="6">
        <v>0.104</v>
      </c>
      <c r="I10" s="6">
        <v>7.3200000000000001E-2</v>
      </c>
    </row>
    <row r="11" spans="1:9" ht="31.5" x14ac:dyDescent="0.5">
      <c r="A11" s="5" t="s">
        <v>10</v>
      </c>
      <c r="B11" s="6">
        <f>B2/B4</f>
        <v>13.270421704511943</v>
      </c>
      <c r="C11" s="6">
        <f>B2/C4</f>
        <v>9.796878061524394</v>
      </c>
      <c r="D11" s="6">
        <f>B2/D4</f>
        <v>15.479343675828146</v>
      </c>
      <c r="E11" s="6">
        <f>B2/E4</f>
        <v>14.879476242436265</v>
      </c>
      <c r="F11" s="6">
        <f>B2/F4</f>
        <v>16.602409194045272</v>
      </c>
      <c r="G11" s="6">
        <f>B2/G4</f>
        <v>16.440758466990612</v>
      </c>
      <c r="H11" s="6">
        <f>B2/H4</f>
        <v>17.30469726393509</v>
      </c>
      <c r="I11" s="6">
        <f>B2/I4</f>
        <v>24.578076355890545</v>
      </c>
    </row>
    <row r="12" spans="1:9" x14ac:dyDescent="0.25">
      <c r="A12" s="1"/>
    </row>
    <row r="14" spans="1:9" x14ac:dyDescent="0.25">
      <c r="A14" s="7"/>
    </row>
    <row r="15" spans="1:9" x14ac:dyDescent="0.25">
      <c r="A15" s="7"/>
    </row>
    <row r="16" spans="1:9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</sheetData>
  <pageMargins left="0.7" right="0.7" top="0.75" bottom="0.75" header="0.3" footer="0.3"/>
  <pageSetup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248B-E2FB-4B0D-BEAA-7E433546897F}">
  <sheetPr>
    <pageSetUpPr fitToPage="1"/>
  </sheetPr>
  <dimension ref="A1:I20"/>
  <sheetViews>
    <sheetView workbookViewId="0">
      <selection activeCell="A14" sqref="A14:A26"/>
    </sheetView>
  </sheetViews>
  <sheetFormatPr defaultRowHeight="15" x14ac:dyDescent="0.25"/>
  <cols>
    <col min="1" max="1" width="31.140625" bestFit="1" customWidth="1"/>
    <col min="2" max="4" width="22.5703125" bestFit="1" customWidth="1"/>
    <col min="5" max="6" width="17.85546875" bestFit="1" customWidth="1"/>
    <col min="7" max="7" width="20.140625" bestFit="1" customWidth="1"/>
    <col min="8" max="9" width="23.42578125" bestFit="1" customWidth="1"/>
  </cols>
  <sheetData>
    <row r="1" spans="1:9" ht="31.5" x14ac:dyDescent="0.5">
      <c r="A1" s="2" t="s">
        <v>22</v>
      </c>
      <c r="B1" s="2" t="s">
        <v>25</v>
      </c>
      <c r="C1" s="3"/>
      <c r="D1" s="3"/>
      <c r="E1" s="3"/>
      <c r="F1" s="3"/>
      <c r="G1" s="3"/>
      <c r="H1" s="3"/>
    </row>
    <row r="2" spans="1:9" s="7" customFormat="1" ht="14.25" x14ac:dyDescent="0.25">
      <c r="A2" s="7" t="s">
        <v>7</v>
      </c>
      <c r="B2" s="7">
        <v>120</v>
      </c>
    </row>
    <row r="3" spans="1:9" ht="31.5" x14ac:dyDescent="0.5">
      <c r="A3" s="5" t="s">
        <v>0</v>
      </c>
      <c r="B3" s="4" t="s">
        <v>1</v>
      </c>
      <c r="C3" s="4" t="s">
        <v>6</v>
      </c>
      <c r="D3" s="4" t="s">
        <v>8</v>
      </c>
      <c r="E3" s="4" t="s">
        <v>9</v>
      </c>
      <c r="F3" s="4" t="s">
        <v>2</v>
      </c>
      <c r="G3" s="4" t="s">
        <v>3</v>
      </c>
      <c r="H3" s="4" t="s">
        <v>5</v>
      </c>
      <c r="I3" s="4" t="s">
        <v>4</v>
      </c>
    </row>
    <row r="4" spans="1:9" ht="31.5" x14ac:dyDescent="0.5">
      <c r="A4" s="5" t="s">
        <v>12</v>
      </c>
      <c r="B4" s="6">
        <v>9.4751999999999992</v>
      </c>
      <c r="C4" s="6">
        <v>11.131399999999999</v>
      </c>
      <c r="D4" s="6">
        <v>7.9573999999999998</v>
      </c>
      <c r="E4" s="6">
        <v>8.3643999999999998</v>
      </c>
      <c r="F4" s="6">
        <v>8.8813999999999993</v>
      </c>
      <c r="G4" s="6">
        <v>7.9573999999999998</v>
      </c>
      <c r="H4" s="6">
        <v>8.3422999999999998</v>
      </c>
      <c r="I4" s="6">
        <v>6.4828999999999999</v>
      </c>
    </row>
    <row r="5" spans="1:9" ht="31.5" x14ac:dyDescent="0.5">
      <c r="A5" s="5" t="s">
        <v>11</v>
      </c>
      <c r="B5" s="6">
        <v>9.0014000000000003</v>
      </c>
      <c r="C5" s="6">
        <v>10.5748</v>
      </c>
      <c r="D5" s="6">
        <v>7.5594999999999999</v>
      </c>
      <c r="E5" s="6">
        <v>7.9462000000000002</v>
      </c>
      <c r="F5" s="6">
        <v>8.4373000000000005</v>
      </c>
      <c r="G5" s="6">
        <v>7.5594999999999999</v>
      </c>
      <c r="H5" s="6">
        <v>7.9252000000000002</v>
      </c>
      <c r="I5" s="6">
        <v>6.1588000000000003</v>
      </c>
    </row>
    <row r="6" spans="1:9" ht="31.5" x14ac:dyDescent="0.5">
      <c r="A6" s="5" t="s">
        <v>13</v>
      </c>
      <c r="B6" s="6">
        <v>8.0539000000000005</v>
      </c>
      <c r="C6" s="6">
        <v>9.4617000000000004</v>
      </c>
      <c r="D6" s="6">
        <v>6.7637999999999998</v>
      </c>
      <c r="E6" s="6">
        <v>7.1097000000000001</v>
      </c>
      <c r="F6" s="6">
        <v>7.5491999999999999</v>
      </c>
      <c r="G6" s="6">
        <v>6.7637999999999998</v>
      </c>
      <c r="H6" s="6">
        <v>7.0910000000000002</v>
      </c>
      <c r="I6" s="6">
        <v>5.5105000000000004</v>
      </c>
    </row>
    <row r="7" spans="1:9" ht="31.5" x14ac:dyDescent="0.5">
      <c r="A7" s="5" t="s">
        <v>14</v>
      </c>
      <c r="B7" s="6">
        <v>7.1063999999999998</v>
      </c>
      <c r="C7" s="6">
        <v>8.3484999999999996</v>
      </c>
      <c r="D7" s="6">
        <v>5.968</v>
      </c>
      <c r="E7" s="6">
        <v>6.2732999999999999</v>
      </c>
      <c r="F7" s="6">
        <v>6.6609999999999996</v>
      </c>
      <c r="G7" s="6">
        <v>5.968</v>
      </c>
      <c r="H7" s="6">
        <v>6.2567000000000004</v>
      </c>
      <c r="I7" s="6">
        <v>4.8621999999999996</v>
      </c>
    </row>
    <row r="8" spans="1:9" ht="31.5" x14ac:dyDescent="0.5">
      <c r="A8" s="5" t="s">
        <v>15</v>
      </c>
      <c r="B8" s="6">
        <v>5.6851000000000003</v>
      </c>
      <c r="C8" s="6">
        <v>6.6787999999999998</v>
      </c>
      <c r="D8" s="6">
        <v>4.7744</v>
      </c>
      <c r="E8" s="6">
        <v>5.0186000000000002</v>
      </c>
      <c r="F8" s="6">
        <v>5.3288000000000002</v>
      </c>
      <c r="G8" s="6">
        <v>4.7744</v>
      </c>
      <c r="H8" s="6">
        <v>5.0053999999999998</v>
      </c>
      <c r="I8" s="6">
        <v>3.8896999999999999</v>
      </c>
    </row>
    <row r="9" spans="1:9" ht="31.5" x14ac:dyDescent="0.5">
      <c r="A9" s="5" t="s">
        <v>16</v>
      </c>
      <c r="B9" s="6">
        <v>3.7900999999999998</v>
      </c>
      <c r="C9" s="6">
        <v>4.4526000000000003</v>
      </c>
      <c r="D9" s="6">
        <v>3.1829999999999998</v>
      </c>
      <c r="E9" s="6">
        <v>3.3458000000000001</v>
      </c>
      <c r="F9" s="6">
        <v>3.5526</v>
      </c>
      <c r="G9" s="6">
        <v>3.1829999999999998</v>
      </c>
      <c r="H9" s="6">
        <v>3.3369</v>
      </c>
      <c r="I9" s="6">
        <v>2.5931999999999999</v>
      </c>
    </row>
    <row r="10" spans="1:9" ht="31.5" x14ac:dyDescent="0.5">
      <c r="A10" s="5" t="s">
        <v>17</v>
      </c>
      <c r="B10" s="6">
        <v>0.1895</v>
      </c>
      <c r="C10" s="6">
        <v>0.22259999999999999</v>
      </c>
      <c r="D10" s="6">
        <v>0.15909999999999999</v>
      </c>
      <c r="E10" s="6">
        <v>0.1673</v>
      </c>
      <c r="F10" s="6">
        <v>0.17760000000000001</v>
      </c>
      <c r="G10" s="6">
        <v>0.15909999999999999</v>
      </c>
      <c r="H10" s="6">
        <v>0.1668</v>
      </c>
      <c r="I10" s="6">
        <v>0.12970000000000001</v>
      </c>
    </row>
    <row r="11" spans="1:9" ht="31.5" x14ac:dyDescent="0.5">
      <c r="A11" s="5" t="s">
        <v>10</v>
      </c>
      <c r="B11" s="6">
        <f>B2/B4</f>
        <v>12.664640324214794</v>
      </c>
      <c r="C11" s="6">
        <f>B2/C4</f>
        <v>10.78031514454606</v>
      </c>
      <c r="D11" s="6">
        <f>B2/D4</f>
        <v>15.080302611405736</v>
      </c>
      <c r="E11" s="6">
        <f>B2/E4</f>
        <v>14.346516187652432</v>
      </c>
      <c r="F11" s="6">
        <f>B2/F4</f>
        <v>13.511383340464342</v>
      </c>
      <c r="G11" s="6">
        <f>B2/G4</f>
        <v>15.080302611405736</v>
      </c>
      <c r="H11" s="6">
        <f>B2/H4</f>
        <v>14.384522254054637</v>
      </c>
      <c r="I11" s="6">
        <f>B2/I4</f>
        <v>18.510234617223773</v>
      </c>
    </row>
    <row r="12" spans="1:9" x14ac:dyDescent="0.25">
      <c r="A12" s="1"/>
    </row>
    <row r="14" spans="1:9" x14ac:dyDescent="0.25">
      <c r="A14" s="7"/>
    </row>
    <row r="15" spans="1:9" x14ac:dyDescent="0.25">
      <c r="A15" s="7"/>
    </row>
    <row r="16" spans="1:9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</sheetData>
  <pageMargins left="0.7" right="0.7" top="0.75" bottom="0.75" header="0.3" footer="0.3"/>
  <pageSetup scale="6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FE73-E8D1-4F5E-9223-1FA8F75BD24F}">
  <sheetPr>
    <pageSetUpPr fitToPage="1"/>
  </sheetPr>
  <dimension ref="A1:I21"/>
  <sheetViews>
    <sheetView workbookViewId="0">
      <selection activeCell="A14" sqref="A14:A26"/>
    </sheetView>
  </sheetViews>
  <sheetFormatPr defaultRowHeight="15" x14ac:dyDescent="0.25"/>
  <cols>
    <col min="1" max="1" width="31.140625" bestFit="1" customWidth="1"/>
    <col min="2" max="4" width="22.5703125" bestFit="1" customWidth="1"/>
    <col min="5" max="6" width="17.85546875" bestFit="1" customWidth="1"/>
    <col min="7" max="7" width="20.140625" bestFit="1" customWidth="1"/>
    <col min="8" max="9" width="23.42578125" bestFit="1" customWidth="1"/>
  </cols>
  <sheetData>
    <row r="1" spans="1:9" ht="31.5" x14ac:dyDescent="0.5">
      <c r="A1" s="2" t="s">
        <v>26</v>
      </c>
      <c r="B1" s="2" t="s">
        <v>27</v>
      </c>
      <c r="C1" s="3"/>
      <c r="D1" s="3"/>
      <c r="E1" s="3"/>
      <c r="F1" s="3"/>
      <c r="G1" s="3"/>
      <c r="H1" s="3"/>
    </row>
    <row r="2" spans="1:9" s="7" customFormat="1" ht="14.25" x14ac:dyDescent="0.25">
      <c r="A2" s="7" t="s">
        <v>7</v>
      </c>
      <c r="B2" s="7">
        <v>40</v>
      </c>
    </row>
    <row r="3" spans="1:9" ht="31.5" x14ac:dyDescent="0.5">
      <c r="A3" s="5" t="s">
        <v>0</v>
      </c>
      <c r="B3" s="4" t="s">
        <v>1</v>
      </c>
      <c r="C3" s="4" t="s">
        <v>6</v>
      </c>
      <c r="D3" s="4" t="s">
        <v>8</v>
      </c>
      <c r="E3" s="4" t="s">
        <v>9</v>
      </c>
      <c r="F3" s="4" t="s">
        <v>2</v>
      </c>
      <c r="G3" s="4" t="s">
        <v>3</v>
      </c>
      <c r="H3" s="4" t="s">
        <v>5</v>
      </c>
      <c r="I3" s="4" t="s">
        <v>4</v>
      </c>
    </row>
    <row r="4" spans="1:9" ht="31.5" x14ac:dyDescent="0.5">
      <c r="A4" s="5" t="s">
        <v>12</v>
      </c>
      <c r="B4" s="6">
        <v>14.1402</v>
      </c>
      <c r="C4" s="6">
        <v>15.8461</v>
      </c>
      <c r="D4" s="6">
        <v>12.1983</v>
      </c>
      <c r="E4" s="6">
        <v>12.633900000000001</v>
      </c>
      <c r="F4" s="6">
        <v>12.870200000000001</v>
      </c>
      <c r="G4" s="6">
        <v>12.1983</v>
      </c>
      <c r="H4" s="6">
        <v>11.507300000000001</v>
      </c>
      <c r="I4" s="6">
        <v>7.9565000000000001</v>
      </c>
    </row>
    <row r="5" spans="1:9" ht="31.5" x14ac:dyDescent="0.5">
      <c r="A5" s="5" t="s">
        <v>11</v>
      </c>
      <c r="B5" s="6">
        <v>13.433199999999999</v>
      </c>
      <c r="C5" s="6">
        <v>15.053800000000001</v>
      </c>
      <c r="D5" s="6">
        <v>11.5884</v>
      </c>
      <c r="E5" s="6">
        <v>12.0022</v>
      </c>
      <c r="F5" s="6">
        <v>12.226699999999999</v>
      </c>
      <c r="G5" s="6">
        <v>11.5884</v>
      </c>
      <c r="H5" s="6">
        <v>10.931900000000001</v>
      </c>
      <c r="I5" s="6">
        <v>7.5587</v>
      </c>
    </row>
    <row r="6" spans="1:9" ht="31.5" x14ac:dyDescent="0.5">
      <c r="A6" s="5" t="s">
        <v>13</v>
      </c>
      <c r="B6" s="6">
        <v>12.0192</v>
      </c>
      <c r="C6" s="6">
        <v>13.469200000000001</v>
      </c>
      <c r="D6" s="6">
        <v>10.368600000000001</v>
      </c>
      <c r="E6" s="6">
        <v>10.738799999999999</v>
      </c>
      <c r="F6" s="6">
        <v>10.9397</v>
      </c>
      <c r="G6" s="6">
        <v>10.368600000000001</v>
      </c>
      <c r="H6" s="6">
        <v>9.7812000000000001</v>
      </c>
      <c r="I6" s="6">
        <v>6.7629999999999999</v>
      </c>
    </row>
    <row r="7" spans="1:9" ht="31.5" x14ac:dyDescent="0.5">
      <c r="A7" s="5" t="s">
        <v>14</v>
      </c>
      <c r="B7" s="6">
        <v>10.6052</v>
      </c>
      <c r="C7" s="6">
        <v>11.884600000000001</v>
      </c>
      <c r="D7" s="6">
        <v>9.1486999999999998</v>
      </c>
      <c r="E7" s="6">
        <v>9.4754000000000005</v>
      </c>
      <c r="F7" s="6">
        <v>9.6526999999999994</v>
      </c>
      <c r="G7" s="6">
        <v>9.1486999999999998</v>
      </c>
      <c r="H7" s="6">
        <v>8.6304999999999996</v>
      </c>
      <c r="I7" s="6">
        <v>5.9673999999999996</v>
      </c>
    </row>
    <row r="8" spans="1:9" ht="31.5" x14ac:dyDescent="0.5">
      <c r="A8" s="5" t="s">
        <v>15</v>
      </c>
      <c r="B8" s="6">
        <v>8.4840999999999998</v>
      </c>
      <c r="C8" s="6">
        <v>9.5076999999999998</v>
      </c>
      <c r="D8" s="6">
        <v>7.319</v>
      </c>
      <c r="E8" s="6">
        <v>7.5803000000000003</v>
      </c>
      <c r="F8" s="6">
        <v>7.7221000000000002</v>
      </c>
      <c r="G8" s="6">
        <v>7.319</v>
      </c>
      <c r="H8" s="6">
        <v>6.9043999999999999</v>
      </c>
      <c r="I8" s="6">
        <v>4.7739000000000003</v>
      </c>
    </row>
    <row r="9" spans="1:9" ht="31.5" x14ac:dyDescent="0.5">
      <c r="A9" s="5" t="s">
        <v>16</v>
      </c>
      <c r="B9" s="6">
        <v>5.6561000000000003</v>
      </c>
      <c r="C9" s="6">
        <v>6.3384</v>
      </c>
      <c r="D9" s="6">
        <v>4.8792999999999997</v>
      </c>
      <c r="E9" s="6">
        <v>5.0536000000000003</v>
      </c>
      <c r="F9" s="6">
        <v>5.1481000000000003</v>
      </c>
      <c r="G9" s="6">
        <v>4.8792999999999997</v>
      </c>
      <c r="H9" s="6">
        <v>4.6029</v>
      </c>
      <c r="I9" s="6">
        <v>3.1825999999999999</v>
      </c>
    </row>
    <row r="10" spans="1:9" ht="31.5" x14ac:dyDescent="0.5">
      <c r="A10" s="5" t="s">
        <v>17</v>
      </c>
      <c r="B10" s="6">
        <v>0.2828</v>
      </c>
      <c r="C10" s="6">
        <v>0.31690000000000002</v>
      </c>
      <c r="D10" s="6">
        <v>0.24399999999999999</v>
      </c>
      <c r="E10" s="6">
        <v>0.25269999999999998</v>
      </c>
      <c r="F10" s="6">
        <v>0.25740000000000002</v>
      </c>
      <c r="G10" s="6">
        <v>0.24399999999999999</v>
      </c>
      <c r="H10" s="6">
        <v>0.2301</v>
      </c>
      <c r="I10" s="6">
        <v>0.15909999999999999</v>
      </c>
    </row>
    <row r="11" spans="1:9" ht="31.5" x14ac:dyDescent="0.5">
      <c r="A11" s="5" t="s">
        <v>10</v>
      </c>
      <c r="B11" s="6">
        <f>B2/B4</f>
        <v>2.8288143024851133</v>
      </c>
      <c r="C11" s="6">
        <f>B2/C4</f>
        <v>2.5242804223121147</v>
      </c>
      <c r="D11" s="6">
        <f>B2/D4</f>
        <v>3.2791454546945067</v>
      </c>
      <c r="E11" s="6">
        <f>B2/E4</f>
        <v>3.1660848985665551</v>
      </c>
      <c r="F11" s="6">
        <f>B2/F4</f>
        <v>3.1079548103370578</v>
      </c>
      <c r="G11" s="6">
        <f>B2/G4</f>
        <v>3.2791454546945067</v>
      </c>
      <c r="H11" s="6">
        <f>B2/H4</f>
        <v>3.4760543307291889</v>
      </c>
      <c r="I11" s="6">
        <f>B2/I4</f>
        <v>5.0273361402626779</v>
      </c>
    </row>
    <row r="12" spans="1:9" x14ac:dyDescent="0.25">
      <c r="A12" s="1"/>
    </row>
    <row r="14" spans="1:9" x14ac:dyDescent="0.25">
      <c r="A14" s="7"/>
    </row>
    <row r="15" spans="1:9" x14ac:dyDescent="0.25">
      <c r="A15" s="8"/>
    </row>
    <row r="16" spans="1:9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7"/>
    </row>
  </sheetData>
  <pageMargins left="0.7" right="0.7" top="0.75" bottom="0.75" header="0.3" footer="0.3"/>
  <pageSetup scale="6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workbookViewId="0">
      <selection activeCell="E5" sqref="E5"/>
    </sheetView>
  </sheetViews>
  <sheetFormatPr defaultRowHeight="15" x14ac:dyDescent="0.25"/>
  <cols>
    <col min="1" max="1" width="31.140625" bestFit="1" customWidth="1"/>
    <col min="2" max="2" width="17.7109375" customWidth="1"/>
    <col min="3" max="3" width="15.42578125" customWidth="1"/>
    <col min="4" max="4" width="14.5703125" customWidth="1"/>
    <col min="5" max="5" width="13.7109375" customWidth="1"/>
    <col min="6" max="7" width="15.7109375" customWidth="1"/>
    <col min="8" max="8" width="15.42578125" customWidth="1"/>
    <col min="9" max="9" width="15.28515625" customWidth="1"/>
    <col min="10" max="10" width="16.7109375" customWidth="1"/>
  </cols>
  <sheetData>
    <row r="1" spans="1:10" ht="31.5" x14ac:dyDescent="0.5">
      <c r="A1" s="2" t="s">
        <v>32</v>
      </c>
      <c r="B1" s="2" t="s">
        <v>33</v>
      </c>
      <c r="C1" s="3"/>
      <c r="D1" s="3"/>
      <c r="E1" s="3"/>
      <c r="F1" s="3"/>
      <c r="G1" s="3"/>
      <c r="H1" s="3"/>
      <c r="I1" s="3"/>
    </row>
    <row r="2" spans="1:10" s="9" customFormat="1" x14ac:dyDescent="0.25">
      <c r="A2" s="9" t="s">
        <v>7</v>
      </c>
      <c r="B2" s="9">
        <v>60</v>
      </c>
    </row>
    <row r="3" spans="1:10" ht="31.5" x14ac:dyDescent="0.5">
      <c r="A3" s="5" t="s">
        <v>0</v>
      </c>
      <c r="B3" s="10" t="s">
        <v>1</v>
      </c>
      <c r="C3" s="10" t="s">
        <v>6</v>
      </c>
      <c r="D3" s="10" t="s">
        <v>8</v>
      </c>
      <c r="E3" s="10" t="s">
        <v>9</v>
      </c>
      <c r="F3" s="10" t="s">
        <v>2</v>
      </c>
      <c r="G3" s="10" t="s">
        <v>31</v>
      </c>
      <c r="H3" s="10" t="s">
        <v>28</v>
      </c>
      <c r="I3" s="10" t="s">
        <v>29</v>
      </c>
      <c r="J3" s="10" t="s">
        <v>30</v>
      </c>
    </row>
    <row r="4" spans="1:10" ht="31.5" x14ac:dyDescent="0.5">
      <c r="A4" s="5" t="s">
        <v>12</v>
      </c>
      <c r="B4" s="6">
        <v>11.2515</v>
      </c>
      <c r="C4" s="6">
        <v>10.7982</v>
      </c>
      <c r="D4" s="6">
        <v>10.487</v>
      </c>
      <c r="E4" s="6">
        <v>10.487</v>
      </c>
      <c r="F4" s="6">
        <v>9.7059999999999995</v>
      </c>
      <c r="G4" s="6">
        <v>9.9335000000000004</v>
      </c>
      <c r="H4" s="6">
        <v>9.4987999999999992</v>
      </c>
      <c r="I4" s="6">
        <v>8.5914999999999999</v>
      </c>
      <c r="J4" s="6">
        <v>7.1460999999999997</v>
      </c>
    </row>
    <row r="5" spans="1:10" ht="31.5" x14ac:dyDescent="0.5">
      <c r="A5" s="5" t="s">
        <v>11</v>
      </c>
      <c r="B5" s="6">
        <f>B4*0.95</f>
        <v>10.688924999999999</v>
      </c>
      <c r="C5" s="6">
        <f t="shared" ref="C5:J5" si="0">C4*0.95</f>
        <v>10.258289999999999</v>
      </c>
      <c r="D5" s="6">
        <f t="shared" si="0"/>
        <v>9.96265</v>
      </c>
      <c r="E5" s="6">
        <f t="shared" si="0"/>
        <v>9.96265</v>
      </c>
      <c r="F5" s="6">
        <f>F4*0.95</f>
        <v>9.220699999999999</v>
      </c>
      <c r="G5" s="6">
        <f>G4*0.95</f>
        <v>9.4368250000000007</v>
      </c>
      <c r="H5" s="6">
        <f t="shared" si="0"/>
        <v>9.0238599999999991</v>
      </c>
      <c r="I5" s="6">
        <f t="shared" si="0"/>
        <v>8.1619250000000001</v>
      </c>
      <c r="J5" s="6">
        <f t="shared" si="0"/>
        <v>6.7887949999999995</v>
      </c>
    </row>
    <row r="6" spans="1:10" ht="31.5" x14ac:dyDescent="0.5">
      <c r="A6" s="5" t="s">
        <v>13</v>
      </c>
      <c r="B6" s="6">
        <f>B4*0.85</f>
        <v>9.5637749999999997</v>
      </c>
      <c r="C6" s="6">
        <f t="shared" ref="C6:J6" si="1">C4*0.85</f>
        <v>9.178469999999999</v>
      </c>
      <c r="D6" s="6">
        <f t="shared" si="1"/>
        <v>8.9139499999999998</v>
      </c>
      <c r="E6" s="6">
        <f t="shared" si="1"/>
        <v>8.9139499999999998</v>
      </c>
      <c r="F6" s="6">
        <f t="shared" si="1"/>
        <v>8.2500999999999998</v>
      </c>
      <c r="G6" s="6">
        <f t="shared" si="1"/>
        <v>8.4434749999999994</v>
      </c>
      <c r="H6" s="6">
        <f t="shared" si="1"/>
        <v>8.0739799999999988</v>
      </c>
      <c r="I6" s="6">
        <f t="shared" si="1"/>
        <v>7.3027749999999996</v>
      </c>
      <c r="J6" s="6">
        <f t="shared" si="1"/>
        <v>6.0741849999999999</v>
      </c>
    </row>
    <row r="7" spans="1:10" ht="31.5" x14ac:dyDescent="0.5">
      <c r="A7" s="5" t="s">
        <v>14</v>
      </c>
      <c r="B7" s="6">
        <f>B4*0.75</f>
        <v>8.438625</v>
      </c>
      <c r="C7" s="6">
        <f t="shared" ref="C7:J7" si="2">C4*0.75</f>
        <v>8.0986499999999992</v>
      </c>
      <c r="D7" s="6">
        <f t="shared" si="2"/>
        <v>7.8652499999999996</v>
      </c>
      <c r="E7" s="6">
        <f t="shared" si="2"/>
        <v>7.8652499999999996</v>
      </c>
      <c r="F7" s="6">
        <f t="shared" si="2"/>
        <v>7.2794999999999996</v>
      </c>
      <c r="G7" s="6">
        <f t="shared" si="2"/>
        <v>7.4501249999999999</v>
      </c>
      <c r="H7" s="6">
        <f t="shared" si="2"/>
        <v>7.1240999999999994</v>
      </c>
      <c r="I7" s="6">
        <f t="shared" si="2"/>
        <v>6.4436249999999999</v>
      </c>
      <c r="J7" s="6">
        <f t="shared" si="2"/>
        <v>5.3595749999999995</v>
      </c>
    </row>
    <row r="8" spans="1:10" ht="31.5" x14ac:dyDescent="0.5">
      <c r="A8" s="5" t="s">
        <v>15</v>
      </c>
      <c r="B8" s="6">
        <f>B4*0.6</f>
        <v>6.7508999999999997</v>
      </c>
      <c r="C8" s="6">
        <f t="shared" ref="C8:J8" si="3">C4*0.6</f>
        <v>6.4789199999999996</v>
      </c>
      <c r="D8" s="6">
        <f t="shared" si="3"/>
        <v>6.2922000000000002</v>
      </c>
      <c r="E8" s="6">
        <f t="shared" si="3"/>
        <v>6.2922000000000002</v>
      </c>
      <c r="F8" s="6">
        <f t="shared" si="3"/>
        <v>5.8235999999999999</v>
      </c>
      <c r="G8" s="6">
        <f t="shared" si="3"/>
        <v>5.9600999999999997</v>
      </c>
      <c r="H8" s="6">
        <f t="shared" si="3"/>
        <v>5.699279999999999</v>
      </c>
      <c r="I8" s="6">
        <f t="shared" si="3"/>
        <v>5.1548999999999996</v>
      </c>
      <c r="J8" s="6">
        <f t="shared" si="3"/>
        <v>4.2876599999999998</v>
      </c>
    </row>
    <row r="9" spans="1:10" ht="31.5" x14ac:dyDescent="0.5">
      <c r="A9" s="5" t="s">
        <v>16</v>
      </c>
      <c r="B9" s="6">
        <f>B4*0.4</f>
        <v>4.5006000000000004</v>
      </c>
      <c r="C9" s="6">
        <f t="shared" ref="C9:J9" si="4">C4*0.4</f>
        <v>4.31928</v>
      </c>
      <c r="D9" s="6">
        <f t="shared" si="4"/>
        <v>4.1947999999999999</v>
      </c>
      <c r="E9" s="6">
        <f t="shared" si="4"/>
        <v>4.1947999999999999</v>
      </c>
      <c r="F9" s="6">
        <f t="shared" si="4"/>
        <v>3.8824000000000001</v>
      </c>
      <c r="G9" s="6">
        <f t="shared" si="4"/>
        <v>3.9734000000000003</v>
      </c>
      <c r="H9" s="6">
        <f t="shared" si="4"/>
        <v>3.7995199999999998</v>
      </c>
      <c r="I9" s="6">
        <f t="shared" si="4"/>
        <v>3.4366000000000003</v>
      </c>
      <c r="J9" s="6">
        <f t="shared" si="4"/>
        <v>2.8584399999999999</v>
      </c>
    </row>
    <row r="10" spans="1:10" ht="31.5" x14ac:dyDescent="0.5">
      <c r="A10" s="5" t="s">
        <v>17</v>
      </c>
      <c r="B10" s="6">
        <f>B4*0.02</f>
        <v>0.22503000000000001</v>
      </c>
      <c r="C10" s="6">
        <f t="shared" ref="C10:J10" si="5">C4*0.02</f>
        <v>0.21596399999999999</v>
      </c>
      <c r="D10" s="6">
        <f t="shared" si="5"/>
        <v>0.20974000000000001</v>
      </c>
      <c r="E10" s="6">
        <f t="shared" si="5"/>
        <v>0.20974000000000001</v>
      </c>
      <c r="F10" s="6">
        <f t="shared" si="5"/>
        <v>0.19411999999999999</v>
      </c>
      <c r="G10" s="6">
        <f t="shared" si="5"/>
        <v>0.19867000000000001</v>
      </c>
      <c r="H10" s="6">
        <f t="shared" si="5"/>
        <v>0.18997599999999998</v>
      </c>
      <c r="I10" s="6">
        <f t="shared" si="5"/>
        <v>0.17183000000000001</v>
      </c>
      <c r="J10" s="6">
        <f t="shared" si="5"/>
        <v>0.14292199999999999</v>
      </c>
    </row>
    <row r="11" spans="1:10" ht="31.5" x14ac:dyDescent="0.5">
      <c r="A11" s="5" t="s">
        <v>10</v>
      </c>
      <c r="B11" s="6">
        <f>B2/B4</f>
        <v>5.3326223170243967</v>
      </c>
      <c r="C11" s="6">
        <f>B2/C4</f>
        <v>5.5564816358281934</v>
      </c>
      <c r="D11" s="6">
        <f>B2/D4</f>
        <v>5.7213693143892437</v>
      </c>
      <c r="E11" s="6">
        <f>B2/E4</f>
        <v>5.7213693143892437</v>
      </c>
      <c r="F11" s="6">
        <f>B2/F4</f>
        <v>6.1817432515969504</v>
      </c>
      <c r="G11" s="6">
        <f>B2/G4</f>
        <v>6.0401671112900788</v>
      </c>
      <c r="H11" s="6">
        <f>B2/H4</f>
        <v>6.3165873584031669</v>
      </c>
      <c r="I11" s="6">
        <f>B2/I4</f>
        <v>6.9836466274806499</v>
      </c>
      <c r="J11" s="6">
        <f>B2/J4</f>
        <v>8.3961881305887136</v>
      </c>
    </row>
    <row r="12" spans="1:10" x14ac:dyDescent="0.25">
      <c r="A12" s="1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CM 03-07</vt:lpstr>
      <vt:lpstr>CM 99-08</vt:lpstr>
      <vt:lpstr>CM 18-06</vt:lpstr>
      <vt:lpstr>CM 03-18</vt:lpstr>
      <vt:lpstr>CM 09-04</vt:lpstr>
      <vt:lpstr>CM 18-04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Ike Starnes</cp:lastModifiedBy>
  <cp:revision/>
  <cp:lastPrinted>2025-03-01T20:32:52Z</cp:lastPrinted>
  <dcterms:created xsi:type="dcterms:W3CDTF">2023-05-03T01:14:43Z</dcterms:created>
  <dcterms:modified xsi:type="dcterms:W3CDTF">2025-11-18T22:02:35Z</dcterms:modified>
  <cp:category/>
  <cp:contentStatus/>
</cp:coreProperties>
</file>